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假設" sheetId="1" state="visible" r:id="rId3"/>
    <sheet name="計算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<sst xmlns="http://schemas.openxmlformats.org/spreadsheetml/2006/main" count="61" uniqueCount="49">
  <si>
    <r>
      <rPr>
        <b val="true"/>
        <sz val="14"/>
        <rFont val="Cambria"/>
        <family val="0"/>
        <charset val="1"/>
      </rPr>
      <t xml:space="preserve">Claude Code </t>
    </r>
    <r>
      <rPr>
        <b val="true"/>
        <sz val="14"/>
        <rFont val="Noto Sans TC"/>
        <family val="2"/>
      </rPr>
      <t xml:space="preserve">導入商業論證：輸入假設（黃底可改）</t>
    </r>
  </si>
  <si>
    <t xml:space="preserve">項目</t>
  </si>
  <si>
    <t xml:space="preserve">說明</t>
  </si>
  <si>
    <t xml:space="preserve">值</t>
  </si>
  <si>
    <t xml:space="preserve">單位</t>
  </si>
  <si>
    <t xml:space="preserve">來源</t>
  </si>
  <si>
    <t xml:space="preserve">團隊開發者人數</t>
  </si>
  <si>
    <t xml:space="preserve">人</t>
  </si>
  <si>
    <t xml:space="preserve">假設值</t>
  </si>
  <si>
    <t xml:space="preserve">每人年度全額成本（薪資＋福利＋稅＋設備）</t>
  </si>
  <si>
    <r>
      <rPr>
        <sz val="11"/>
        <color theme="1"/>
        <rFont val="Calibri"/>
        <family val="2"/>
        <charset val="1"/>
      </rPr>
      <t xml:space="preserve">USD/</t>
    </r>
    <r>
      <rPr>
        <sz val="11"/>
        <color theme="1"/>
        <rFont val="Noto Sans TC"/>
        <family val="2"/>
      </rPr>
      <t xml:space="preserve">年</t>
    </r>
  </si>
  <si>
    <t xml:space="preserve">每人每年工作時數</t>
  </si>
  <si>
    <t xml:space="preserve">小時</t>
  </si>
  <si>
    <t xml:space="preserve">每年工作週數</t>
  </si>
  <si>
    <t xml:space="preserve">週</t>
  </si>
  <si>
    <t xml:space="preserve">高影響任務佔工時比例</t>
  </si>
  <si>
    <t xml:space="preserve">%</t>
  </si>
  <si>
    <t xml:space="preserve">高影響任務效率權重</t>
  </si>
  <si>
    <t xml:space="preserve">倍</t>
  </si>
  <si>
    <t xml:space="preserve">中影響任務佔工時比例</t>
  </si>
  <si>
    <t xml:space="preserve">中影響任務效率權重</t>
  </si>
  <si>
    <t xml:space="preserve">生產力下降期間</t>
  </si>
  <si>
    <t xml:space="preserve">書</t>
  </si>
  <si>
    <t xml:space="preserve">每人每月訂閱成本</t>
  </si>
  <si>
    <r>
      <rPr>
        <sz val="11"/>
        <color theme="1"/>
        <rFont val="Calibri"/>
        <family val="2"/>
        <charset val="1"/>
      </rPr>
      <t xml:space="preserve">USD/</t>
    </r>
    <r>
      <rPr>
        <sz val="11"/>
        <color theme="1"/>
        <rFont val="Noto Sans TC"/>
        <family val="2"/>
      </rPr>
      <t xml:space="preserve">人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TC"/>
        <family val="2"/>
      </rPr>
      <t xml:space="preserve">月</t>
    </r>
  </si>
  <si>
    <t xml:space="preserve">分析期間</t>
  </si>
  <si>
    <t xml:space="preserve">月</t>
  </si>
  <si>
    <t xml:space="preserve">註：標「假設值」的數字書上沒有，是本練習自訂，導入前請換成公司實際數字。</t>
  </si>
  <si>
    <t xml:space="preserve">情境</t>
  </si>
  <si>
    <t xml:space="preserve">保守</t>
  </si>
  <si>
    <t xml:space="preserve">基準</t>
  </si>
  <si>
    <t xml:space="preserve">樂觀</t>
  </si>
  <si>
    <t xml:space="preserve">基準效率提升（書）</t>
  </si>
  <si>
    <r>
      <rPr>
        <sz val="11"/>
        <color theme="1"/>
        <rFont val="Noto Sans TC"/>
        <family val="2"/>
      </rPr>
      <t xml:space="preserve">培訓時數（書：</t>
    </r>
    <r>
      <rPr>
        <sz val="11"/>
        <color theme="1"/>
        <rFont val="Calibri"/>
        <family val="2"/>
        <charset val="1"/>
      </rPr>
      <t xml:space="preserve">2–4 </t>
    </r>
    <r>
      <rPr>
        <sz val="11"/>
        <color theme="1"/>
        <rFont val="Noto Sans TC"/>
        <family val="2"/>
      </rPr>
      <t xml:space="preserve">小時）</t>
    </r>
  </si>
  <si>
    <r>
      <rPr>
        <sz val="11"/>
        <color theme="1"/>
        <rFont val="Noto Sans TC"/>
        <family val="2"/>
      </rPr>
      <t xml:space="preserve">前兩週生產力下降（書：</t>
    </r>
    <r>
      <rPr>
        <sz val="11"/>
        <color theme="1"/>
        <rFont val="Calibri"/>
        <family val="2"/>
        <charset val="1"/>
      </rPr>
      <t xml:space="preserve">10–15%</t>
    </r>
    <r>
      <rPr>
        <sz val="11"/>
        <color theme="1"/>
        <rFont val="Noto Sans TC"/>
        <family val="2"/>
      </rPr>
      <t xml:space="preserve">）</t>
    </r>
  </si>
  <si>
    <t xml:space="preserve">每小時全額成本</t>
  </si>
  <si>
    <t xml:space="preserve">加權係數（高／中影響任務）</t>
  </si>
  <si>
    <t xml:space="preserve">有效效率提升</t>
  </si>
  <si>
    <t xml:space="preserve">每月效益（全團隊）</t>
  </si>
  <si>
    <t xml:space="preserve">每月訂閱成本（全團隊）</t>
  </si>
  <si>
    <t xml:space="preserve">每月淨效益</t>
  </si>
  <si>
    <t xml:space="preserve">一次性培訓成本</t>
  </si>
  <si>
    <t xml:space="preserve">一次性生產力下降成本</t>
  </si>
  <si>
    <t xml:space="preserve">一次性導入成本合計</t>
  </si>
  <si>
    <t xml:space="preserve">分析期總效益</t>
  </si>
  <si>
    <t xml:space="preserve">分析期總成本</t>
  </si>
  <si>
    <t xml:space="preserve">分析期淨效益</t>
  </si>
  <si>
    <t xml:space="preserve">ROI</t>
  </si>
  <si>
    <t xml:space="preserve">回本月數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</si>
</sst>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"/>
    <numFmt numFmtId="168" formatCode="0.0%"/>
    <numFmt numFmtId="169" formatCode="#,##0.00"/>
    <numFmt numFmtId="170" formatCode="0.000"/>
    <numFmt numFmtId="171" formatCode="0.00"/>
  </numFmts>
  <fonts count="10">
    <font>
      <sz val="11"/>
      <color theme="1"/>
      <name val="Noto Sans T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4"/>
      <name val="Noto Sans TC"/>
      <family val="2"/>
    </font>
    <font>
      <b val="true"/>
      <sz val="11"/>
      <color rgb="FFFFFFFF"/>
      <name val="Noto Sans TC"/>
      <family val="2"/>
    </font>
    <font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1"/>
      <name val="Noto Sans TC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36.39"/>
    <col collapsed="false" customWidth="true" hidden="false" outlineLevel="0" max="2" min="2" style="0" width="3.64"/>
    <col collapsed="false" customWidth="true" hidden="false" outlineLevel="0" max="3" min="3" style="0" width="12.74"/>
    <col collapsed="false" customWidth="true" hidden="false" outlineLevel="0" max="4" min="4" style="0" width="10.92"/>
    <col collapsed="false" customWidth="true" hidden="false" outlineLevel="0" max="5" min="5" style="0" width="9.1"/>
  </cols>
  <sheetData>
    <row r="1" customFormat="false" ht="19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0" t="s">
        <v>6</v>
      </c>
      <c r="C4" s="3" t="n">
        <v>10</v>
      </c>
      <c r="D4" s="0" t="s">
        <v>7</v>
      </c>
      <c r="E4" s="0" t="s">
        <v>8</v>
      </c>
    </row>
    <row r="5" customFormat="false" ht="16" hidden="false" customHeight="false" outlineLevel="0" collapsed="false">
      <c r="A5" s="0" t="s">
        <v>9</v>
      </c>
      <c r="C5" s="4" t="n">
        <v>180000</v>
      </c>
      <c r="D5" s="5" t="s">
        <v>10</v>
      </c>
      <c r="E5" s="0" t="s">
        <v>8</v>
      </c>
    </row>
    <row r="6" customFormat="false" ht="15" hidden="false" customHeight="false" outlineLevel="0" collapsed="false">
      <c r="A6" s="0" t="s">
        <v>11</v>
      </c>
      <c r="C6" s="4" t="n">
        <v>2000</v>
      </c>
      <c r="D6" s="0" t="s">
        <v>12</v>
      </c>
      <c r="E6" s="0" t="s">
        <v>8</v>
      </c>
    </row>
    <row r="7" customFormat="false" ht="15" hidden="false" customHeight="false" outlineLevel="0" collapsed="false">
      <c r="A7" s="0" t="s">
        <v>13</v>
      </c>
      <c r="C7" s="3" t="n">
        <v>50</v>
      </c>
      <c r="D7" s="0" t="s">
        <v>14</v>
      </c>
      <c r="E7" s="0" t="s">
        <v>8</v>
      </c>
    </row>
    <row r="8" customFormat="false" ht="15" hidden="false" customHeight="false" outlineLevel="0" collapsed="false">
      <c r="A8" s="0" t="s">
        <v>15</v>
      </c>
      <c r="C8" s="6" t="n">
        <v>0.4</v>
      </c>
      <c r="D8" s="5" t="s">
        <v>16</v>
      </c>
      <c r="E8" s="0" t="s">
        <v>8</v>
      </c>
    </row>
    <row r="9" customFormat="false" ht="15" hidden="false" customHeight="false" outlineLevel="0" collapsed="false">
      <c r="A9" s="0" t="s">
        <v>17</v>
      </c>
      <c r="C9" s="3" t="n">
        <v>1.5</v>
      </c>
      <c r="D9" s="0" t="s">
        <v>18</v>
      </c>
      <c r="E9" s="0" t="s">
        <v>8</v>
      </c>
    </row>
    <row r="10" customFormat="false" ht="15" hidden="false" customHeight="false" outlineLevel="0" collapsed="false">
      <c r="A10" s="0" t="s">
        <v>19</v>
      </c>
      <c r="C10" s="6" t="n">
        <v>0.35</v>
      </c>
      <c r="D10" s="5" t="s">
        <v>16</v>
      </c>
      <c r="E10" s="0" t="s">
        <v>8</v>
      </c>
    </row>
    <row r="11" customFormat="false" ht="15" hidden="false" customHeight="false" outlineLevel="0" collapsed="false">
      <c r="A11" s="0" t="s">
        <v>20</v>
      </c>
      <c r="C11" s="3" t="n">
        <v>1</v>
      </c>
      <c r="D11" s="0" t="s">
        <v>18</v>
      </c>
      <c r="E11" s="0" t="s">
        <v>8</v>
      </c>
    </row>
    <row r="12" customFormat="false" ht="15" hidden="false" customHeight="false" outlineLevel="0" collapsed="false">
      <c r="A12" s="0" t="s">
        <v>21</v>
      </c>
      <c r="C12" s="3" t="n">
        <v>2</v>
      </c>
      <c r="D12" s="0" t="s">
        <v>14</v>
      </c>
      <c r="E12" s="0" t="s">
        <v>22</v>
      </c>
    </row>
    <row r="13" customFormat="false" ht="16" hidden="false" customHeight="false" outlineLevel="0" collapsed="false">
      <c r="A13" s="0" t="s">
        <v>23</v>
      </c>
      <c r="C13" s="3" t="n">
        <v>100</v>
      </c>
      <c r="D13" s="5" t="s">
        <v>24</v>
      </c>
      <c r="E13" s="0" t="s">
        <v>8</v>
      </c>
    </row>
    <row r="14" customFormat="false" ht="15" hidden="false" customHeight="false" outlineLevel="0" collapsed="false">
      <c r="A14" s="0" t="s">
        <v>25</v>
      </c>
      <c r="C14" s="3" t="n">
        <v>12</v>
      </c>
      <c r="D14" s="0" t="s">
        <v>26</v>
      </c>
      <c r="E14" s="0" t="s">
        <v>8</v>
      </c>
    </row>
    <row r="16" customFormat="false" ht="15" hidden="false" customHeight="false" outlineLevel="0" collapsed="false">
      <c r="A16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30.93"/>
    <col collapsed="false" customWidth="true" hidden="false" outlineLevel="0" max="4" min="2" style="0" width="14.56"/>
  </cols>
  <sheetData>
    <row r="1" customFormat="false" ht="15" hidden="false" customHeight="false" outlineLevel="0" collapsed="false">
      <c r="A1" s="2" t="s">
        <v>28</v>
      </c>
      <c r="B1" s="2" t="s">
        <v>29</v>
      </c>
      <c r="C1" s="2" t="s">
        <v>30</v>
      </c>
      <c r="D1" s="2" t="s">
        <v>31</v>
      </c>
    </row>
    <row r="2" customFormat="false" ht="15" hidden="false" customHeight="false" outlineLevel="0" collapsed="false">
      <c r="A2" s="0" t="s">
        <v>32</v>
      </c>
      <c r="B2" s="6" t="n">
        <v>0.15</v>
      </c>
      <c r="C2" s="6" t="n">
        <v>0.2</v>
      </c>
      <c r="D2" s="6" t="n">
        <v>0.3</v>
      </c>
    </row>
    <row r="3" customFormat="false" ht="16" hidden="false" customHeight="false" outlineLevel="0" collapsed="false">
      <c r="A3" s="0" t="s">
        <v>33</v>
      </c>
      <c r="B3" s="7" t="n">
        <v>4</v>
      </c>
      <c r="C3" s="7" t="n">
        <v>3</v>
      </c>
      <c r="D3" s="7" t="n">
        <v>2</v>
      </c>
    </row>
    <row r="4" customFormat="false" ht="16" hidden="false" customHeight="false" outlineLevel="0" collapsed="false">
      <c r="A4" s="0" t="s">
        <v>34</v>
      </c>
      <c r="B4" s="8" t="n">
        <v>0.15</v>
      </c>
      <c r="C4" s="8" t="n">
        <v>0.125</v>
      </c>
      <c r="D4" s="8" t="n">
        <v>0.1</v>
      </c>
    </row>
    <row r="5" customFormat="false" ht="15" hidden="false" customHeight="false" outlineLevel="0" collapsed="false">
      <c r="A5" s="0" t="s">
        <v>35</v>
      </c>
      <c r="B5" s="9" t="n">
        <f aca="false">假設!$C$5/假設!$C$6</f>
        <v>90</v>
      </c>
      <c r="C5" s="9" t="n">
        <f aca="false">假設!$C$5/假設!$C$6</f>
        <v>90</v>
      </c>
      <c r="D5" s="9" t="n">
        <f aca="false">假設!$C$5/假設!$C$6</f>
        <v>90</v>
      </c>
    </row>
    <row r="6" customFormat="false" ht="15" hidden="false" customHeight="false" outlineLevel="0" collapsed="false">
      <c r="A6" s="0" t="s">
        <v>36</v>
      </c>
      <c r="B6" s="10" t="n">
        <f aca="false">假設!$C$8*假設!$C$9+假設!$C$10*假設!$C$11</f>
        <v>0.95</v>
      </c>
      <c r="C6" s="10" t="n">
        <f aca="false">假設!$C$8*假設!$C$9+假設!$C$10*假設!$C$11</f>
        <v>0.95</v>
      </c>
      <c r="D6" s="10" t="n">
        <f aca="false">假設!$C$8*假設!$C$9+假設!$C$10*假設!$C$11</f>
        <v>0.95</v>
      </c>
    </row>
    <row r="7" customFormat="false" ht="15" hidden="false" customHeight="false" outlineLevel="0" collapsed="false">
      <c r="A7" s="0" t="s">
        <v>37</v>
      </c>
      <c r="B7" s="11" t="n">
        <f aca="false">B2*B6</f>
        <v>0.1425</v>
      </c>
      <c r="C7" s="11" t="n">
        <f aca="false">C2*C6</f>
        <v>0.19</v>
      </c>
      <c r="D7" s="11" t="n">
        <f aca="false">D2*D6</f>
        <v>0.285</v>
      </c>
    </row>
    <row r="8" customFormat="false" ht="15" hidden="false" customHeight="false" outlineLevel="0" collapsed="false">
      <c r="A8" s="0" t="s">
        <v>38</v>
      </c>
      <c r="B8" s="12" t="n">
        <f aca="false">假設!$C$4*假設!$C$5/12*B7</f>
        <v>21375</v>
      </c>
      <c r="C8" s="12" t="n">
        <f aca="false">假設!$C$4*假設!$C$5/12*C7</f>
        <v>28500</v>
      </c>
      <c r="D8" s="12" t="n">
        <f aca="false">假設!$C$4*假設!$C$5/12*D7</f>
        <v>42750</v>
      </c>
    </row>
    <row r="9" customFormat="false" ht="15" hidden="false" customHeight="false" outlineLevel="0" collapsed="false">
      <c r="A9" s="0" t="s">
        <v>39</v>
      </c>
      <c r="B9" s="12" t="n">
        <f aca="false">假設!$C$4*假設!$C$13</f>
        <v>1000</v>
      </c>
      <c r="C9" s="12" t="n">
        <f aca="false">假設!$C$4*假設!$C$13</f>
        <v>1000</v>
      </c>
      <c r="D9" s="12" t="n">
        <f aca="false">假設!$C$4*假設!$C$13</f>
        <v>1000</v>
      </c>
    </row>
    <row r="10" customFormat="false" ht="15" hidden="false" customHeight="false" outlineLevel="0" collapsed="false">
      <c r="A10" s="0" t="s">
        <v>40</v>
      </c>
      <c r="B10" s="12" t="n">
        <f aca="false">B8-B9</f>
        <v>20375</v>
      </c>
      <c r="C10" s="12" t="n">
        <f aca="false">C8-C9</f>
        <v>27500</v>
      </c>
      <c r="D10" s="12" t="n">
        <f aca="false">D8-D9</f>
        <v>41750</v>
      </c>
    </row>
    <row r="11" customFormat="false" ht="15" hidden="false" customHeight="false" outlineLevel="0" collapsed="false">
      <c r="A11" s="0" t="s">
        <v>41</v>
      </c>
      <c r="B11" s="12" t="n">
        <f aca="false">假設!$C$4*B3*B5</f>
        <v>3600</v>
      </c>
      <c r="C11" s="12" t="n">
        <f aca="false">假設!$C$4*C3*C5</f>
        <v>2700</v>
      </c>
      <c r="D11" s="12" t="n">
        <f aca="false">假設!$C$4*D3*D5</f>
        <v>1800</v>
      </c>
    </row>
    <row r="12" customFormat="false" ht="15" hidden="false" customHeight="false" outlineLevel="0" collapsed="false">
      <c r="A12" s="0" t="s">
        <v>42</v>
      </c>
      <c r="B12" s="12" t="n">
        <f aca="false">假設!$C$4*假設!$C$5/假設!$C$7*假設!$C$12*B4</f>
        <v>10800</v>
      </c>
      <c r="C12" s="12" t="n">
        <f aca="false">假設!$C$4*假設!$C$5/假設!$C$7*假設!$C$12*C4</f>
        <v>9000</v>
      </c>
      <c r="D12" s="12" t="n">
        <f aca="false">假設!$C$4*假設!$C$5/假設!$C$7*假設!$C$12*D4</f>
        <v>7200</v>
      </c>
    </row>
    <row r="13" customFormat="false" ht="15" hidden="false" customHeight="false" outlineLevel="0" collapsed="false">
      <c r="A13" s="0" t="s">
        <v>43</v>
      </c>
      <c r="B13" s="12" t="n">
        <f aca="false">B11+B12</f>
        <v>14400</v>
      </c>
      <c r="C13" s="12" t="n">
        <f aca="false">C11+C12</f>
        <v>11700</v>
      </c>
      <c r="D13" s="12" t="n">
        <f aca="false">D11+D12</f>
        <v>9000</v>
      </c>
    </row>
    <row r="14" customFormat="false" ht="15" hidden="false" customHeight="false" outlineLevel="0" collapsed="false">
      <c r="A14" s="0" t="s">
        <v>44</v>
      </c>
      <c r="B14" s="12" t="n">
        <f aca="false">B8*假設!$C$14</f>
        <v>256500</v>
      </c>
      <c r="C14" s="12" t="n">
        <f aca="false">C8*假設!$C$14</f>
        <v>342000</v>
      </c>
      <c r="D14" s="12" t="n">
        <f aca="false">D8*假設!$C$14</f>
        <v>513000</v>
      </c>
    </row>
    <row r="15" customFormat="false" ht="15" hidden="false" customHeight="false" outlineLevel="0" collapsed="false">
      <c r="A15" s="0" t="s">
        <v>45</v>
      </c>
      <c r="B15" s="12" t="n">
        <f aca="false">B13+B9*假設!$C$14</f>
        <v>26400</v>
      </c>
      <c r="C15" s="12" t="n">
        <f aca="false">C13+C9*假設!$C$14</f>
        <v>23700</v>
      </c>
      <c r="D15" s="12" t="n">
        <f aca="false">D13+D9*假設!$C$14</f>
        <v>21000</v>
      </c>
    </row>
    <row r="16" customFormat="false" ht="15" hidden="false" customHeight="false" outlineLevel="0" collapsed="false">
      <c r="A16" s="0" t="s">
        <v>46</v>
      </c>
      <c r="B16" s="12" t="n">
        <f aca="false">B14-B15</f>
        <v>230100</v>
      </c>
      <c r="C16" s="12" t="n">
        <f aca="false">C14-C15</f>
        <v>318300</v>
      </c>
      <c r="D16" s="12" t="n">
        <f aca="false">D14-D15</f>
        <v>492000</v>
      </c>
    </row>
    <row r="17" customFormat="false" ht="15" hidden="false" customHeight="false" outlineLevel="0" collapsed="false">
      <c r="A17" s="13" t="s">
        <v>47</v>
      </c>
      <c r="B17" s="11" t="n">
        <f aca="false">IF(B15=0,0,B16/B15)</f>
        <v>8.71590909090909</v>
      </c>
      <c r="C17" s="11" t="n">
        <f aca="false">IF(C15=0,0,C16/C15)</f>
        <v>13.4303797468354</v>
      </c>
      <c r="D17" s="11" t="n">
        <f aca="false">IF(D15=0,0,D16/D15)</f>
        <v>23.4285714285714</v>
      </c>
    </row>
    <row r="18" customFormat="false" ht="15" hidden="false" customHeight="false" outlineLevel="0" collapsed="false">
      <c r="A18" s="14" t="s">
        <v>48</v>
      </c>
      <c r="B18" s="15" t="n">
        <f aca="false">IF(B10&lt;=0,"不回本",B13/B10)</f>
        <v>0.706748466257669</v>
      </c>
      <c r="C18" s="15" t="n">
        <f aca="false">IF(C10&lt;=0,"不回本",C13/C10)</f>
        <v>0.425454545454545</v>
      </c>
      <c r="D18" s="15" t="n">
        <f aca="false">IF(D10&lt;=0,"不回本",D13/D10)</f>
        <v>0.215568862275449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2026-10-22T04:31:12Z</dcterms:created>
  <dc:creator>openpyxl</dc:creator>
  <dc:description/>
  <dc:language>zh-TW</dc:language>
  <cp:lastModifiedBy/>
  <dcterms:modified xsi:type="dcterms:W3CDTF">2026-10-22T04:31:12Z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